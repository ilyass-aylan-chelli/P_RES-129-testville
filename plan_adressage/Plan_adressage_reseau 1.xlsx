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11_BFBC9080126C1E588A8A1034255F12EC2E97D2EB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lages IP" sheetId="1" r:id="rId1"/>
    <sheet name="Réseaux de transit" sheetId="2" r:id="rId2"/>
    <sheet name="IP par appareil" sheetId="3" r:id="rId3"/>
  </sheet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8" i="1" l="1"/>
  <c r="J8" i="1"/>
  <c r="L7" i="1"/>
  <c r="J7" i="1"/>
  <c r="L6" i="1"/>
  <c r="J6" i="1"/>
  <c r="L5" i="1"/>
  <c r="J5" i="1"/>
  <c r="L4" i="1"/>
  <c r="J4" i="1"/>
  <c r="L3" i="1"/>
  <c r="J3" i="1"/>
  <c r="L2" i="1"/>
  <c r="J2" i="1"/>
</calcChain>
</file>

<file path=xl/sharedStrings.xml><?xml version="1.0" encoding="utf-8"?>
<sst xmlns="http://schemas.openxmlformats.org/spreadsheetml/2006/main" count="201" uniqueCount="119">
  <si>
    <t>VLAN</t>
  </si>
  <si>
    <t>Service</t>
  </si>
  <si>
    <t>Adresse réseau</t>
  </si>
  <si>
    <t>CIDR</t>
  </si>
  <si>
    <t>Masque</t>
  </si>
  <si>
    <t>Passerelle</t>
  </si>
  <si>
    <t>1ère IP hôte</t>
  </si>
  <si>
    <t>Dernière IP hôte</t>
  </si>
  <si>
    <t>Broadcast</t>
  </si>
  <si>
    <t>Hôtes utilisables</t>
  </si>
  <si>
    <t>Appareils (dont passerelle)</t>
  </si>
  <si>
    <t>IP libres</t>
  </si>
  <si>
    <t>Switch</t>
  </si>
  <si>
    <t>Routeur / sous-interface</t>
  </si>
  <si>
    <t>Serveurs</t>
  </si>
  <si>
    <t>192.168.10.0</t>
  </si>
  <si>
    <t>255.255.255.248</t>
  </si>
  <si>
    <t>192.168.10.1</t>
  </si>
  <si>
    <t>192.168.10.2</t>
  </si>
  <si>
    <t>192.168.10.6</t>
  </si>
  <si>
    <t>192.168.10.7</t>
  </si>
  <si>
    <t>Switch3</t>
  </si>
  <si>
    <t>Routeur 2 (Gig3/0.10)</t>
  </si>
  <si>
    <t>Bibliothèque</t>
  </si>
  <si>
    <t>192.168.20.0</t>
  </si>
  <si>
    <t>255.255.255.240</t>
  </si>
  <si>
    <t>192.168.20.1</t>
  </si>
  <si>
    <t>192.168.20.2</t>
  </si>
  <si>
    <t>192.168.20.14</t>
  </si>
  <si>
    <t>192.168.20.15</t>
  </si>
  <si>
    <t>Switch1</t>
  </si>
  <si>
    <t>Routeur 1 (Gig0/1.20)</t>
  </si>
  <si>
    <t>Finance</t>
  </si>
  <si>
    <t>192.168.30.0</t>
  </si>
  <si>
    <t>255.255.255.192</t>
  </si>
  <si>
    <t>192.168.30.1</t>
  </si>
  <si>
    <t>192.168.30.2</t>
  </si>
  <si>
    <t>192.168.30.62</t>
  </si>
  <si>
    <t>192.168.30.63</t>
  </si>
  <si>
    <t>Switch2</t>
  </si>
  <si>
    <t>Routeur 2 (Gig1/0.30)</t>
  </si>
  <si>
    <t>Accueil</t>
  </si>
  <si>
    <t>192.168.40.0</t>
  </si>
  <si>
    <t>192.168.40.1</t>
  </si>
  <si>
    <t>192.168.40.2</t>
  </si>
  <si>
    <t>192.168.40.62</t>
  </si>
  <si>
    <t>192.168.40.63</t>
  </si>
  <si>
    <t>Routeur 2 (Gig3/0.40)</t>
  </si>
  <si>
    <t>Direction</t>
  </si>
  <si>
    <t>192.168.50.0</t>
  </si>
  <si>
    <t>192.168.50.1</t>
  </si>
  <si>
    <t>192.168.50.2</t>
  </si>
  <si>
    <t>192.168.50.62</t>
  </si>
  <si>
    <t>192.168.50.63</t>
  </si>
  <si>
    <t>Routeur 2 (Gig1/0.50)</t>
  </si>
  <si>
    <t>Service technique</t>
  </si>
  <si>
    <t>192.168.60.0</t>
  </si>
  <si>
    <t>255.255.255.224</t>
  </si>
  <si>
    <t>192.168.60.1</t>
  </si>
  <si>
    <t>192.168.60.2</t>
  </si>
  <si>
    <t>192.168.60.30</t>
  </si>
  <si>
    <t>192.168.60.31</t>
  </si>
  <si>
    <t>Switch4</t>
  </si>
  <si>
    <t>Routeur 3 (Gig0/1.60)</t>
  </si>
  <si>
    <t>Guest</t>
  </si>
  <si>
    <t>192.168.70.0</t>
  </si>
  <si>
    <t>192.168.70.1</t>
  </si>
  <si>
    <t>192.168.70.2</t>
  </si>
  <si>
    <t>192.168.70.30</t>
  </si>
  <si>
    <t>192.168.70.31</t>
  </si>
  <si>
    <t>Routeur 1 (Gig0/1.70)</t>
  </si>
  <si>
    <t>Note : « Appareils » = passerelle + PC + imprimantes + serveurs/AP du schéma draw.io (valeurs en bleu, modifiables). Serveurs : 2 serveurs + imprimante + passerelle (.1) ; DHCP en 192.168.10.3.</t>
  </si>
  <si>
    <t>Liaison</t>
  </si>
  <si>
    <t>Réseau</t>
  </si>
  <si>
    <t>Extrémité A</t>
  </si>
  <si>
    <t>IP A</t>
  </si>
  <si>
    <t>Extrémité B</t>
  </si>
  <si>
    <t>IP B</t>
  </si>
  <si>
    <t>Câble</t>
  </si>
  <si>
    <t>R1 – R2</t>
  </si>
  <si>
    <t>10.0.0.0</t>
  </si>
  <si>
    <t>255.255.255.252</t>
  </si>
  <si>
    <t>Routeur 1 Gig0/0</t>
  </si>
  <si>
    <t>10.0.0.1</t>
  </si>
  <si>
    <t>Routeur 2 Gig0/0</t>
  </si>
  <si>
    <t>10.0.0.2</t>
  </si>
  <si>
    <t>Cat7, 80 m</t>
  </si>
  <si>
    <t>R2 – R3</t>
  </si>
  <si>
    <t>10.0.0.4</t>
  </si>
  <si>
    <t>Routeur 2 Gig2/0</t>
  </si>
  <si>
    <t>10.0.0.5</t>
  </si>
  <si>
    <t>Routeur 3 Gig0/2</t>
  </si>
  <si>
    <t>10.0.0.6</t>
  </si>
  <si>
    <t>Fibre optique, 150 m</t>
  </si>
  <si>
    <t>Appareil</t>
  </si>
  <si>
    <t>Adresse IP</t>
  </si>
  <si>
    <t>Mode</t>
  </si>
  <si>
    <t>Passerelle (routeur)</t>
  </si>
  <si>
    <t>Statique</t>
  </si>
  <si>
    <t>Serveur DHCP</t>
  </si>
  <si>
    <t>192.168.10.3 (statique, cible des helper-address)</t>
  </si>
  <si>
    <t>Serveur 2</t>
  </si>
  <si>
    <t>DHCP – à relever</t>
  </si>
  <si>
    <t>DHCP</t>
  </si>
  <si>
    <t>Imprimante serveur</t>
  </si>
  <si>
    <t>PC Bibliothèque (×6)</t>
  </si>
  <si>
    <t>Imprimante bibliothèque</t>
  </si>
  <si>
    <t>PC Finance (×22)</t>
  </si>
  <si>
    <t>Imprimante finance</t>
  </si>
  <si>
    <t>PC Accueil (×20)</t>
  </si>
  <si>
    <t>Imprimante accueil</t>
  </si>
  <si>
    <t>Imprimante accueil (2)</t>
  </si>
  <si>
    <t>PC Direction (×18)</t>
  </si>
  <si>
    <t>Imprimante direction</t>
  </si>
  <si>
    <t>PC Service-Tech (×8)</t>
  </si>
  <si>
    <t>PC Guest (×12)</t>
  </si>
  <si>
    <t>Access Point 1</t>
  </si>
  <si>
    <t>Access Point 2</t>
  </si>
  <si>
    <t>Les adresses des PC viennent du DHCP (aucune IP fixe dans la config) : relevez-les dans Packet Tracer (PC &gt; Desktop &gt; IP Configuration) et remplacez le texte en bleu.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</si>
</sst>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20" customWidth="1"/>
    <col min="3" max="3" width="16" customWidth="1"/>
    <col min="4" max="4" width="8" customWidth="1"/>
    <col min="5" max="5" width="17" customWidth="1"/>
    <col min="6" max="9" width="16" customWidth="1"/>
    <col min="10" max="10" width="12" customWidth="1"/>
    <col min="11" max="11" width="14" customWidth="1"/>
    <col min="12" max="13" width="10" customWidth="1"/>
    <col min="14" max="14" width="24" customWidth="1"/>
  </cols>
  <sheetData>
    <row r="1" spans="1:14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10</v>
      </c>
      <c r="B2" s="2" t="s">
        <v>14</v>
      </c>
      <c r="C2" s="2" t="s">
        <v>15</v>
      </c>
      <c r="D2" s="2">
        <v>29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f>2^(32-D2)-2</f>
        <v>6</v>
      </c>
      <c r="K2" s="3">
        <v>3</v>
      </c>
      <c r="L2" s="2">
        <f>J2-K2</f>
        <v>3</v>
      </c>
      <c r="M2" s="2" t="s">
        <v>21</v>
      </c>
      <c r="N2" s="2" t="s">
        <v>22</v>
      </c>
    </row>
    <row r="3" spans="1:14">
      <c r="A3" s="2">
        <v>20</v>
      </c>
      <c r="B3" s="2" t="s">
        <v>23</v>
      </c>
      <c r="C3" s="2" t="s">
        <v>24</v>
      </c>
      <c r="D3" s="2">
        <v>28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>
        <f>2^(32-D3)-2</f>
        <v>14</v>
      </c>
      <c r="K3" s="3">
        <v>8</v>
      </c>
      <c r="L3" s="2">
        <f>J3-K3</f>
        <v>6</v>
      </c>
      <c r="M3" s="2" t="s">
        <v>30</v>
      </c>
      <c r="N3" s="2" t="s">
        <v>31</v>
      </c>
    </row>
    <row r="4" spans="1:14">
      <c r="A4" s="2">
        <v>30</v>
      </c>
      <c r="B4" s="2" t="s">
        <v>32</v>
      </c>
      <c r="C4" s="2" t="s">
        <v>33</v>
      </c>
      <c r="D4" s="2">
        <v>26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>
        <f>2^(32-D4)-2</f>
        <v>62</v>
      </c>
      <c r="K4" s="3">
        <v>24</v>
      </c>
      <c r="L4" s="2">
        <f>J4-K4</f>
        <v>38</v>
      </c>
      <c r="M4" s="2" t="s">
        <v>39</v>
      </c>
      <c r="N4" s="2" t="s">
        <v>40</v>
      </c>
    </row>
    <row r="5" spans="1:14">
      <c r="A5" s="2">
        <v>40</v>
      </c>
      <c r="B5" s="2" t="s">
        <v>41</v>
      </c>
      <c r="C5" s="2" t="s">
        <v>42</v>
      </c>
      <c r="D5" s="2">
        <v>26</v>
      </c>
      <c r="E5" s="2" t="s">
        <v>34</v>
      </c>
      <c r="F5" s="2" t="s">
        <v>43</v>
      </c>
      <c r="G5" s="2" t="s">
        <v>44</v>
      </c>
      <c r="H5" s="2" t="s">
        <v>45</v>
      </c>
      <c r="I5" s="2" t="s">
        <v>46</v>
      </c>
      <c r="J5" s="2">
        <f>2^(32-D5)-2</f>
        <v>62</v>
      </c>
      <c r="K5" s="3">
        <v>23</v>
      </c>
      <c r="L5" s="2">
        <f>J5-K5</f>
        <v>39</v>
      </c>
      <c r="M5" s="2" t="s">
        <v>21</v>
      </c>
      <c r="N5" s="2" t="s">
        <v>47</v>
      </c>
    </row>
    <row r="6" spans="1:14">
      <c r="A6" s="2">
        <v>50</v>
      </c>
      <c r="B6" s="2" t="s">
        <v>48</v>
      </c>
      <c r="C6" s="2" t="s">
        <v>49</v>
      </c>
      <c r="D6" s="2">
        <v>26</v>
      </c>
      <c r="E6" s="2" t="s">
        <v>34</v>
      </c>
      <c r="F6" s="2" t="s">
        <v>50</v>
      </c>
      <c r="G6" s="2" t="s">
        <v>51</v>
      </c>
      <c r="H6" s="2" t="s">
        <v>52</v>
      </c>
      <c r="I6" s="2" t="s">
        <v>53</v>
      </c>
      <c r="J6" s="2">
        <f>2^(32-D6)-2</f>
        <v>62</v>
      </c>
      <c r="K6" s="3">
        <v>20</v>
      </c>
      <c r="L6" s="2">
        <f>J6-K6</f>
        <v>42</v>
      </c>
      <c r="M6" s="2" t="s">
        <v>39</v>
      </c>
      <c r="N6" s="2" t="s">
        <v>54</v>
      </c>
    </row>
    <row r="7" spans="1:14">
      <c r="A7" s="2">
        <v>60</v>
      </c>
      <c r="B7" s="2" t="s">
        <v>55</v>
      </c>
      <c r="C7" s="2" t="s">
        <v>56</v>
      </c>
      <c r="D7" s="2">
        <v>27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>
        <f>2^(32-D7)-2</f>
        <v>30</v>
      </c>
      <c r="K7" s="3">
        <v>9</v>
      </c>
      <c r="L7" s="2">
        <f>J7-K7</f>
        <v>21</v>
      </c>
      <c r="M7" s="2" t="s">
        <v>62</v>
      </c>
      <c r="N7" s="2" t="s">
        <v>63</v>
      </c>
    </row>
    <row r="8" spans="1:14">
      <c r="A8" s="2">
        <v>70</v>
      </c>
      <c r="B8" s="2" t="s">
        <v>64</v>
      </c>
      <c r="C8" s="2" t="s">
        <v>65</v>
      </c>
      <c r="D8" s="2">
        <v>27</v>
      </c>
      <c r="E8" s="2" t="s">
        <v>57</v>
      </c>
      <c r="F8" s="2" t="s">
        <v>66</v>
      </c>
      <c r="G8" s="2" t="s">
        <v>67</v>
      </c>
      <c r="H8" s="2" t="s">
        <v>68</v>
      </c>
      <c r="I8" s="2" t="s">
        <v>69</v>
      </c>
      <c r="J8" s="2">
        <f>2^(32-D8)-2</f>
        <v>30</v>
      </c>
      <c r="K8" s="3">
        <v>15</v>
      </c>
      <c r="L8" s="2">
        <f>J8-K8</f>
        <v>15</v>
      </c>
      <c r="M8" s="2" t="s">
        <v>30</v>
      </c>
      <c r="N8" s="2" t="s">
        <v>70</v>
      </c>
    </row>
    <row r="11" spans="1:14">
      <c r="A11" s="4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2" customWidth="1"/>
    <col min="3" max="3" width="8" customWidth="1"/>
    <col min="4" max="4" width="17" customWidth="1"/>
    <col min="5" max="5" width="20" customWidth="1"/>
    <col min="6" max="6" width="12" customWidth="1"/>
    <col min="7" max="7" width="20" customWidth="1"/>
    <col min="8" max="8" width="12" customWidth="1"/>
    <col min="9" max="9" width="22" customWidth="1"/>
  </cols>
  <sheetData>
    <row r="1" spans="1:9">
      <c r="A1" s="1" t="s">
        <v>72</v>
      </c>
      <c r="B1" s="1" t="s">
        <v>73</v>
      </c>
      <c r="C1" s="1" t="s">
        <v>3</v>
      </c>
      <c r="D1" s="1" t="s">
        <v>4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>
      <c r="A2" s="2" t="s">
        <v>79</v>
      </c>
      <c r="B2" s="2" t="s">
        <v>80</v>
      </c>
      <c r="C2" s="2">
        <v>30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</row>
    <row r="3" spans="1:9">
      <c r="A3" s="2" t="s">
        <v>87</v>
      </c>
      <c r="B3" s="2" t="s">
        <v>88</v>
      </c>
      <c r="C3" s="2">
        <v>30</v>
      </c>
      <c r="D3" s="2" t="s">
        <v>81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20" customWidth="1"/>
    <col min="3" max="3" width="28" customWidth="1"/>
    <col min="4" max="4" width="46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</row>
    <row r="2" spans="1:5">
      <c r="A2" s="2">
        <v>10</v>
      </c>
      <c r="B2" s="2" t="s">
        <v>14</v>
      </c>
      <c r="C2" s="2" t="s">
        <v>97</v>
      </c>
      <c r="D2" s="2" t="s">
        <v>17</v>
      </c>
      <c r="E2" s="2" t="s">
        <v>98</v>
      </c>
    </row>
    <row r="3" spans="1:5">
      <c r="A3" s="2">
        <v>10</v>
      </c>
      <c r="B3" s="2" t="s">
        <v>14</v>
      </c>
      <c r="C3" s="2" t="s">
        <v>99</v>
      </c>
      <c r="D3" s="2" t="s">
        <v>100</v>
      </c>
      <c r="E3" s="2" t="s">
        <v>98</v>
      </c>
    </row>
    <row r="4" spans="1:5">
      <c r="A4" s="2">
        <v>10</v>
      </c>
      <c r="B4" s="2" t="s">
        <v>14</v>
      </c>
      <c r="C4" s="2" t="s">
        <v>101</v>
      </c>
      <c r="D4" s="3" t="s">
        <v>102</v>
      </c>
      <c r="E4" s="2" t="s">
        <v>103</v>
      </c>
    </row>
    <row r="5" spans="1:5">
      <c r="A5" s="2">
        <v>10</v>
      </c>
      <c r="B5" s="2" t="s">
        <v>14</v>
      </c>
      <c r="C5" s="2" t="s">
        <v>104</v>
      </c>
      <c r="D5" s="3" t="s">
        <v>102</v>
      </c>
      <c r="E5" s="2" t="s">
        <v>103</v>
      </c>
    </row>
    <row r="6" spans="1:5">
      <c r="A6" s="2">
        <v>20</v>
      </c>
      <c r="B6" s="2" t="s">
        <v>23</v>
      </c>
      <c r="C6" s="2" t="s">
        <v>97</v>
      </c>
      <c r="D6" s="2" t="s">
        <v>26</v>
      </c>
      <c r="E6" s="2" t="s">
        <v>98</v>
      </c>
    </row>
    <row r="7" spans="1:5">
      <c r="A7" s="2">
        <v>20</v>
      </c>
      <c r="B7" s="2" t="s">
        <v>23</v>
      </c>
      <c r="C7" s="2" t="s">
        <v>105</v>
      </c>
      <c r="D7" s="3" t="s">
        <v>102</v>
      </c>
      <c r="E7" s="2" t="s">
        <v>103</v>
      </c>
    </row>
    <row r="8" spans="1:5">
      <c r="A8" s="2">
        <v>20</v>
      </c>
      <c r="B8" s="2" t="s">
        <v>23</v>
      </c>
      <c r="C8" s="2" t="s">
        <v>106</v>
      </c>
      <c r="D8" s="3" t="s">
        <v>102</v>
      </c>
      <c r="E8" s="2" t="s">
        <v>103</v>
      </c>
    </row>
    <row r="9" spans="1:5">
      <c r="A9" s="2">
        <v>30</v>
      </c>
      <c r="B9" s="2" t="s">
        <v>32</v>
      </c>
      <c r="C9" s="2" t="s">
        <v>97</v>
      </c>
      <c r="D9" s="2" t="s">
        <v>35</v>
      </c>
      <c r="E9" s="2" t="s">
        <v>98</v>
      </c>
    </row>
    <row r="10" spans="1:5">
      <c r="A10" s="2">
        <v>30</v>
      </c>
      <c r="B10" s="2" t="s">
        <v>32</v>
      </c>
      <c r="C10" s="2" t="s">
        <v>107</v>
      </c>
      <c r="D10" s="3" t="s">
        <v>102</v>
      </c>
      <c r="E10" s="2" t="s">
        <v>103</v>
      </c>
    </row>
    <row r="11" spans="1:5">
      <c r="A11" s="2">
        <v>30</v>
      </c>
      <c r="B11" s="2" t="s">
        <v>32</v>
      </c>
      <c r="C11" s="2" t="s">
        <v>108</v>
      </c>
      <c r="D11" s="3" t="s">
        <v>102</v>
      </c>
      <c r="E11" s="2" t="s">
        <v>103</v>
      </c>
    </row>
    <row r="12" spans="1:5">
      <c r="A12" s="2">
        <v>40</v>
      </c>
      <c r="B12" s="2" t="s">
        <v>41</v>
      </c>
      <c r="C12" s="2" t="s">
        <v>97</v>
      </c>
      <c r="D12" s="2" t="s">
        <v>43</v>
      </c>
      <c r="E12" s="2" t="s">
        <v>98</v>
      </c>
    </row>
    <row r="13" spans="1:5">
      <c r="A13" s="2">
        <v>40</v>
      </c>
      <c r="B13" s="2" t="s">
        <v>41</v>
      </c>
      <c r="C13" s="2" t="s">
        <v>109</v>
      </c>
      <c r="D13" s="3" t="s">
        <v>102</v>
      </c>
      <c r="E13" s="2" t="s">
        <v>103</v>
      </c>
    </row>
    <row r="14" spans="1:5">
      <c r="A14" s="2">
        <v>40</v>
      </c>
      <c r="B14" s="2" t="s">
        <v>41</v>
      </c>
      <c r="C14" s="2" t="s">
        <v>110</v>
      </c>
      <c r="D14" s="3" t="s">
        <v>102</v>
      </c>
      <c r="E14" s="2" t="s">
        <v>103</v>
      </c>
    </row>
    <row r="15" spans="1:5">
      <c r="A15" s="2">
        <v>40</v>
      </c>
      <c r="B15" s="2" t="s">
        <v>41</v>
      </c>
      <c r="C15" s="2" t="s">
        <v>111</v>
      </c>
      <c r="D15" s="3" t="s">
        <v>102</v>
      </c>
      <c r="E15" s="2" t="s">
        <v>103</v>
      </c>
    </row>
    <row r="16" spans="1:5">
      <c r="A16" s="2">
        <v>50</v>
      </c>
      <c r="B16" s="2" t="s">
        <v>48</v>
      </c>
      <c r="C16" s="2" t="s">
        <v>97</v>
      </c>
      <c r="D16" s="2" t="s">
        <v>50</v>
      </c>
      <c r="E16" s="2" t="s">
        <v>98</v>
      </c>
    </row>
    <row r="17" spans="1:5">
      <c r="A17" s="2">
        <v>50</v>
      </c>
      <c r="B17" s="2" t="s">
        <v>48</v>
      </c>
      <c r="C17" s="2" t="s">
        <v>112</v>
      </c>
      <c r="D17" s="3" t="s">
        <v>102</v>
      </c>
      <c r="E17" s="2" t="s">
        <v>103</v>
      </c>
    </row>
    <row r="18" spans="1:5">
      <c r="A18" s="2">
        <v>50</v>
      </c>
      <c r="B18" s="2" t="s">
        <v>48</v>
      </c>
      <c r="C18" s="2" t="s">
        <v>113</v>
      </c>
      <c r="D18" s="3" t="s">
        <v>102</v>
      </c>
      <c r="E18" s="2" t="s">
        <v>103</v>
      </c>
    </row>
    <row r="19" spans="1:5">
      <c r="A19" s="2">
        <v>60</v>
      </c>
      <c r="B19" s="2" t="s">
        <v>55</v>
      </c>
      <c r="C19" s="2" t="s">
        <v>97</v>
      </c>
      <c r="D19" s="2" t="s">
        <v>58</v>
      </c>
      <c r="E19" s="2" t="s">
        <v>98</v>
      </c>
    </row>
    <row r="20" spans="1:5">
      <c r="A20" s="2">
        <v>60</v>
      </c>
      <c r="B20" s="2" t="s">
        <v>55</v>
      </c>
      <c r="C20" s="2" t="s">
        <v>114</v>
      </c>
      <c r="D20" s="3" t="s">
        <v>102</v>
      </c>
      <c r="E20" s="2" t="s">
        <v>103</v>
      </c>
    </row>
    <row r="21" spans="1:5">
      <c r="A21" s="2">
        <v>70</v>
      </c>
      <c r="B21" s="2" t="s">
        <v>64</v>
      </c>
      <c r="C21" s="2" t="s">
        <v>97</v>
      </c>
      <c r="D21" s="2" t="s">
        <v>66</v>
      </c>
      <c r="E21" s="2" t="s">
        <v>98</v>
      </c>
    </row>
    <row r="22" spans="1:5">
      <c r="A22" s="2">
        <v>70</v>
      </c>
      <c r="B22" s="2" t="s">
        <v>64</v>
      </c>
      <c r="C22" s="2" t="s">
        <v>115</v>
      </c>
      <c r="D22" s="3" t="s">
        <v>102</v>
      </c>
      <c r="E22" s="2" t="s">
        <v>103</v>
      </c>
    </row>
    <row r="23" spans="1:5">
      <c r="A23" s="2">
        <v>70</v>
      </c>
      <c r="B23" s="2" t="s">
        <v>64</v>
      </c>
      <c r="C23" s="2" t="s">
        <v>116</v>
      </c>
      <c r="D23" s="3" t="s">
        <v>102</v>
      </c>
      <c r="E23" s="2" t="s">
        <v>103</v>
      </c>
    </row>
    <row r="24" spans="1:5">
      <c r="A24" s="2">
        <v>70</v>
      </c>
      <c r="B24" s="2" t="s">
        <v>64</v>
      </c>
      <c r="C24" s="2" t="s">
        <v>117</v>
      </c>
      <c r="D24" s="3" t="s">
        <v>102</v>
      </c>
      <c r="E24" s="2" t="s">
        <v>103</v>
      </c>
    </row>
    <row r="26" spans="1:5">
      <c r="A26" s="4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Ilyass Chelli</cp:lastModifiedBy>
  <cp:revision>0</cp:revision>
  <dcterms:created xsi:type="dcterms:W3CDTF">2026-10-04T07:31:01Z</dcterms:created>
  <dcterms:modified xsi:type="dcterms:W3CDTF">2026-10-04T07:49:48Z</dcterms:modified>
  <cp:category/>
  <cp:contentStatus/>
</cp:coreProperties>
</file>